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2025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17" i="1"/>
  <c r="E19" s="1"/>
  <c r="E20" s="1"/>
  <c r="E22" s="1"/>
  <c r="I5"/>
  <c r="I7" s="1"/>
  <c r="I8" s="1"/>
  <c r="Q5"/>
  <c r="Q7" s="1"/>
  <c r="Q8" s="1"/>
  <c r="M5"/>
  <c r="M7" s="1"/>
  <c r="M8" s="1"/>
  <c r="E5"/>
  <c r="E7" s="1"/>
  <c r="E8" s="1"/>
  <c r="E10" s="1"/>
  <c r="I10" s="1"/>
  <c r="M10" l="1"/>
  <c r="Q10"/>
</calcChain>
</file>

<file path=xl/sharedStrings.xml><?xml version="1.0" encoding="utf-8"?>
<sst xmlns="http://schemas.openxmlformats.org/spreadsheetml/2006/main" count="33" uniqueCount="26">
  <si>
    <t>Jan</t>
  </si>
  <si>
    <t>Feb</t>
  </si>
  <si>
    <t>Mar</t>
  </si>
  <si>
    <t>Q1 Bonus</t>
  </si>
  <si>
    <t>April</t>
  </si>
  <si>
    <t>May</t>
  </si>
  <si>
    <t>June</t>
  </si>
  <si>
    <t>Q2 Bonus</t>
  </si>
  <si>
    <t>July</t>
  </si>
  <si>
    <t>Aug</t>
  </si>
  <si>
    <t>Sep</t>
  </si>
  <si>
    <t>Q3 Bonus</t>
  </si>
  <si>
    <t>Oct</t>
  </si>
  <si>
    <t>Nov</t>
  </si>
  <si>
    <t>Dec</t>
  </si>
  <si>
    <t>Q4 Bonus</t>
  </si>
  <si>
    <t>Charges from M to M</t>
  </si>
  <si>
    <t>Receipts from M to M</t>
  </si>
  <si>
    <t>Minus 105,000.00</t>
  </si>
  <si>
    <t>Total for Bonus</t>
  </si>
  <si>
    <t>Total for Bonus * 0.25</t>
  </si>
  <si>
    <t>Quarterly Bonus</t>
  </si>
  <si>
    <t>Patients Seen</t>
  </si>
  <si>
    <t>New Provider</t>
  </si>
  <si>
    <t>Example One</t>
  </si>
  <si>
    <t>Example Two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</si>
</sst>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44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0" fillId="0" borderId="1"/>
  </cellStyleXfs>
  <cellXfs count="29">
    <xf numFmtId="0" fontId="0" fillId="0" borderId="0" xfId="0"/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1" fillId="0" borderId="0" xfId="0" applyNumberFormat="1" applyFont="1"/>
    <xf numFmtId="4" fontId="2" fillId="0" borderId="0" xfId="16" applyNumberFormat="1" applyFont="1" applyFill="1"/>
    <xf numFmtId="49" fontId="0" fillId="0" borderId="0" xfId="0" applyNumberFormat="1" applyFont="1" applyAlignment="1">
      <alignment horizontal="left"/>
    </xf>
    <xf numFmtId="2" fontId="0" fillId="0" borderId="0" xfId="0" applyNumberFormat="1" applyFont="1"/>
    <xf numFmtId="49" fontId="0" fillId="0" borderId="0" xfId="0" applyNumberFormat="1" applyAlignment="1">
      <alignment horizontal="left"/>
    </xf>
    <xf numFmtId="16" fontId="0" fillId="0" borderId="0" xfId="0" applyNumberFormat="1"/>
    <xf numFmtId="17" fontId="0" fillId="0" borderId="0" xfId="0" applyNumberFormat="1"/>
    <xf numFmtId="2" fontId="6" fillId="0" borderId="0" xfId="0" applyNumberFormat="1" applyFont="1"/>
    <xf numFmtId="2" fontId="7" fillId="0" borderId="0" xfId="0" applyNumberFormat="1" applyFont="1"/>
    <xf numFmtId="2" fontId="5" fillId="0" borderId="0" xfId="0" applyNumberFormat="1" applyFont="1"/>
    <xf numFmtId="0" fontId="8" fillId="0" borderId="0" xfId="0" applyFont="1"/>
    <xf numFmtId="2" fontId="8" fillId="0" borderId="0" xfId="0" applyNumberFormat="1" applyFont="1"/>
    <xf numFmtId="4" fontId="2" fillId="0" borderId="0" xfId="16" applyNumberFormat="1"/>
    <xf numFmtId="4" fontId="2" fillId="0" borderId="0" xfId="16" applyNumberFormat="1"/>
    <xf numFmtId="4" fontId="2" fillId="0" borderId="0" xfId="16" applyNumberFormat="1"/>
    <xf numFmtId="4" fontId="2" fillId="0" borderId="0" xfId="16" applyNumberFormat="1"/>
    <xf numFmtId="4" fontId="2" fillId="0" borderId="0" xfId="16" applyNumberFormat="1"/>
    <xf numFmtId="4" fontId="2" fillId="0" borderId="0" xfId="16" applyNumberFormat="1"/>
    <xf numFmtId="4" fontId="2" fillId="0" borderId="0" xfId="16" applyNumberFormat="1"/>
    <xf numFmtId="4" fontId="2" fillId="0" borderId="0" xfId="16" applyNumberFormat="1"/>
    <xf numFmtId="2" fontId="11" fillId="0" borderId="0" xfId="0" applyNumberFormat="1" applyFont="1"/>
    <xf numFmtId="0" fontId="0" fillId="0" borderId="0" xfId="0" applyNumberFormat="1" applyFont="1"/>
    <xf numFmtId="0" fontId="0" fillId="0" borderId="0" xfId="0" applyNumberFormat="1"/>
  </cellXfs>
  <cellStyles count="45">
    <cellStyle name="Comma 2" xfId="2"/>
    <cellStyle name="Comma 3" xfId="1"/>
    <cellStyle name="Currency 2" xfId="4"/>
    <cellStyle name="Currency 3" xfId="5"/>
    <cellStyle name="Currency 4" xfId="25"/>
    <cellStyle name="Currency 5" xfId="3"/>
    <cellStyle name="HeaderCellStyle" xfId="44"/>
    <cellStyle name="Normal" xfId="0" builtinId="0"/>
    <cellStyle name="Normal 10" xfId="6"/>
    <cellStyle name="Normal 10 2" xfId="26"/>
    <cellStyle name="Normal 11" xfId="7"/>
    <cellStyle name="Normal 11 2" xfId="27"/>
    <cellStyle name="Normal 12" xfId="8"/>
    <cellStyle name="Normal 12 2" xfId="28"/>
    <cellStyle name="Normal 13" xfId="9"/>
    <cellStyle name="Normal 13 2" xfId="29"/>
    <cellStyle name="Normal 14" xfId="10"/>
    <cellStyle name="Normal 14 2" xfId="30"/>
    <cellStyle name="Normal 15" xfId="11"/>
    <cellStyle name="Normal 15 2" xfId="31"/>
    <cellStyle name="Normal 16" xfId="12"/>
    <cellStyle name="Normal 16 2" xfId="32"/>
    <cellStyle name="Normal 17" xfId="13"/>
    <cellStyle name="Normal 17 2" xfId="33"/>
    <cellStyle name="Normal 18" xfId="14"/>
    <cellStyle name="Normal 18 2" xfId="34"/>
    <cellStyle name="Normal 19" xfId="15"/>
    <cellStyle name="Normal 19 2" xfId="35"/>
    <cellStyle name="Normal 2" xfId="16"/>
    <cellStyle name="Normal 20" xfId="24"/>
    <cellStyle name="Normal 21" xfId="43"/>
    <cellStyle name="Normal 3" xfId="17"/>
    <cellStyle name="Normal 3 2" xfId="36"/>
    <cellStyle name="Normal 4" xfId="18"/>
    <cellStyle name="Normal 4 2" xfId="37"/>
    <cellStyle name="Normal 5" xfId="19"/>
    <cellStyle name="Normal 5 2" xfId="38"/>
    <cellStyle name="Normal 6" xfId="20"/>
    <cellStyle name="Normal 6 2" xfId="39"/>
    <cellStyle name="Normal 7" xfId="21"/>
    <cellStyle name="Normal 7 2" xfId="40"/>
    <cellStyle name="Normal 8" xfId="22"/>
    <cellStyle name="Normal 8 2" xfId="41"/>
    <cellStyle name="Normal 9" xfId="23"/>
    <cellStyle name="Normal 9 2" xfId="4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>
      <selection activeCell="G32" sqref="G32"/>
    </sheetView>
  </sheetViews>
  <sheetFormatPr defaultRowHeight="15"/>
  <cols>
    <col min="1" max="1" width="21.140625" customWidth="1"/>
    <col min="3" max="4" width="9.140625" style="2"/>
    <col min="5" max="5" width="11" customWidth="1"/>
    <col min="9" max="9" width="10.140625" customWidth="1"/>
    <col min="13" max="13" width="10" customWidth="1"/>
    <col min="17" max="17" width="10.140625" customWidth="1"/>
  </cols>
  <sheetData>
    <row r="1" spans="1:18">
      <c r="A1" s="1">
        <v>2025</v>
      </c>
      <c r="B1" s="11" t="s">
        <v>0</v>
      </c>
      <c r="C1" s="2" t="s">
        <v>1</v>
      </c>
      <c r="D1" s="2" t="s">
        <v>2</v>
      </c>
      <c r="E1" s="11" t="s">
        <v>3</v>
      </c>
      <c r="F1" s="11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"/>
    </row>
    <row r="2" spans="1:18">
      <c r="A2" s="1" t="s">
        <v>23</v>
      </c>
      <c r="B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 t="s">
        <v>24</v>
      </c>
      <c r="B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1" t="s">
        <v>16</v>
      </c>
      <c r="B4" s="9">
        <v>3255.92</v>
      </c>
      <c r="C4" s="2">
        <v>18120.330000000002</v>
      </c>
      <c r="D4" s="2">
        <v>29774.01</v>
      </c>
      <c r="E4" s="1"/>
      <c r="F4" s="18">
        <v>46800.71</v>
      </c>
      <c r="G4" s="1">
        <v>37973.14</v>
      </c>
      <c r="H4" s="19">
        <v>50173.73</v>
      </c>
      <c r="I4" s="1"/>
      <c r="J4" s="22">
        <v>50948.55</v>
      </c>
      <c r="K4" s="24">
        <v>35949.339999999997</v>
      </c>
      <c r="L4" s="2">
        <v>62245.62</v>
      </c>
      <c r="M4" s="1"/>
      <c r="N4" s="26">
        <v>64587.28</v>
      </c>
      <c r="O4" s="26">
        <v>48751.23</v>
      </c>
      <c r="P4" s="26">
        <v>58298.06</v>
      </c>
      <c r="Q4" s="1"/>
      <c r="R4" s="1"/>
    </row>
    <row r="5" spans="1:18">
      <c r="A5" s="8" t="s">
        <v>17</v>
      </c>
      <c r="B5" s="9">
        <v>320.33</v>
      </c>
      <c r="C5" s="9">
        <v>7271.36</v>
      </c>
      <c r="D5" s="15">
        <v>12957.37</v>
      </c>
      <c r="E5" s="4">
        <f>B5+C5+D5</f>
        <v>20549.060000000001</v>
      </c>
      <c r="F5" s="18">
        <v>17100.39</v>
      </c>
      <c r="G5" s="21">
        <v>27117.64</v>
      </c>
      <c r="H5" s="20">
        <v>25668.34</v>
      </c>
      <c r="I5" s="4">
        <f>F5+G5+H5</f>
        <v>69886.37</v>
      </c>
      <c r="J5" s="23">
        <v>32098.98</v>
      </c>
      <c r="K5" s="25">
        <v>25141.309999999998</v>
      </c>
      <c r="L5" s="2">
        <v>35925.370000000003</v>
      </c>
      <c r="M5" s="4">
        <f>J5+K5+L5</f>
        <v>93165.66</v>
      </c>
      <c r="N5" s="26">
        <v>39786.32</v>
      </c>
      <c r="O5" s="26">
        <v>43824.19</v>
      </c>
      <c r="P5" s="26">
        <v>41238.239999999998</v>
      </c>
      <c r="Q5" s="4">
        <f>N5+O5+P5</f>
        <v>124848.75</v>
      </c>
      <c r="R5" s="9"/>
    </row>
    <row r="6" spans="1:18">
      <c r="A6" s="10" t="s">
        <v>18</v>
      </c>
      <c r="B6" s="9"/>
      <c r="C6" s="9"/>
      <c r="D6" s="9"/>
      <c r="E6" s="9">
        <v>-105000</v>
      </c>
      <c r="F6" s="7"/>
      <c r="G6" s="9"/>
      <c r="H6" s="9"/>
      <c r="I6" s="9">
        <v>-105000</v>
      </c>
      <c r="J6" s="9"/>
      <c r="K6" s="9"/>
      <c r="L6" s="9"/>
      <c r="M6" s="9">
        <v>-105000</v>
      </c>
      <c r="N6" s="9"/>
      <c r="O6" s="9"/>
      <c r="P6" s="9"/>
      <c r="Q6" s="9">
        <v>-105000</v>
      </c>
      <c r="R6" s="9"/>
    </row>
    <row r="7" spans="1:18">
      <c r="A7" s="5" t="s">
        <v>19</v>
      </c>
      <c r="B7" s="4"/>
      <c r="C7" s="4"/>
      <c r="D7" s="4"/>
      <c r="E7" s="4">
        <f>E5+E6</f>
        <v>-84450.94</v>
      </c>
      <c r="F7" s="4"/>
      <c r="G7" s="4"/>
      <c r="H7" s="4"/>
      <c r="I7" s="4">
        <f>I5+I6</f>
        <v>-35113.630000000005</v>
      </c>
      <c r="J7" s="4"/>
      <c r="K7" s="4"/>
      <c r="L7" s="4"/>
      <c r="M7" s="4">
        <f>M5+M6</f>
        <v>-11834.339999999997</v>
      </c>
      <c r="N7" s="4"/>
      <c r="O7" s="4"/>
      <c r="P7" s="4"/>
      <c r="Q7" s="4">
        <f>Q5+Q6</f>
        <v>19848.75</v>
      </c>
      <c r="R7" s="4"/>
    </row>
    <row r="8" spans="1:18">
      <c r="A8" s="1" t="s">
        <v>20</v>
      </c>
      <c r="B8" s="2"/>
      <c r="E8" s="14">
        <f>E7*0.25</f>
        <v>-21112.735000000001</v>
      </c>
      <c r="F8" s="15"/>
      <c r="G8" s="15"/>
      <c r="H8" s="15"/>
      <c r="I8" s="14">
        <f>I7*0.25</f>
        <v>-8778.4075000000012</v>
      </c>
      <c r="J8" s="15"/>
      <c r="K8" s="15"/>
      <c r="L8" s="15"/>
      <c r="M8" s="14">
        <f>M7*0.25</f>
        <v>-2958.5849999999991</v>
      </c>
      <c r="N8" s="15"/>
      <c r="O8" s="15"/>
      <c r="P8" s="15"/>
      <c r="Q8" s="14">
        <f>Q7*0.25</f>
        <v>4962.1875</v>
      </c>
      <c r="R8" s="2"/>
    </row>
    <row r="9" spans="1:18">
      <c r="A9" s="1"/>
      <c r="B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3" t="s">
        <v>21</v>
      </c>
      <c r="B10" s="4"/>
      <c r="C10" s="4"/>
      <c r="D10" s="4"/>
      <c r="E10" s="13">
        <f>E8</f>
        <v>-21112.735000000001</v>
      </c>
      <c r="F10" s="4"/>
      <c r="G10" s="4"/>
      <c r="H10" s="4"/>
      <c r="I10" s="13">
        <f>E10+I8</f>
        <v>-29891.142500000002</v>
      </c>
      <c r="J10" s="13"/>
      <c r="K10" s="13"/>
      <c r="L10" s="13"/>
      <c r="M10" s="13">
        <f>I10+M8</f>
        <v>-32849.727500000001</v>
      </c>
      <c r="N10" s="13"/>
      <c r="O10" s="13"/>
      <c r="P10" s="13"/>
      <c r="Q10" s="13">
        <f>M10+Q8</f>
        <v>-27887.54</v>
      </c>
      <c r="R10" s="4"/>
    </row>
    <row r="11" spans="1:18">
      <c r="A11" s="6"/>
      <c r="B11" s="1"/>
      <c r="E11" s="17"/>
      <c r="F11" s="16"/>
      <c r="G11" s="16"/>
      <c r="H11" s="16"/>
      <c r="I11" s="17"/>
      <c r="J11" s="17"/>
      <c r="K11" s="17"/>
      <c r="L11" s="17"/>
      <c r="M11" s="17"/>
      <c r="N11" s="16"/>
      <c r="O11" s="16"/>
      <c r="P11" s="16"/>
      <c r="Q11" s="17"/>
      <c r="R11" s="1"/>
    </row>
    <row r="12" spans="1:18">
      <c r="A12" s="1" t="s">
        <v>22</v>
      </c>
      <c r="B12" s="1">
        <v>16</v>
      </c>
      <c r="C12" s="28">
        <v>77</v>
      </c>
      <c r="D12" s="28">
        <v>134</v>
      </c>
      <c r="E12" s="1"/>
      <c r="F12" s="1">
        <v>214</v>
      </c>
      <c r="G12" s="1">
        <v>163</v>
      </c>
      <c r="H12" s="1">
        <v>223</v>
      </c>
      <c r="I12" s="1"/>
      <c r="J12" s="1">
        <v>233</v>
      </c>
      <c r="K12" s="1">
        <v>160</v>
      </c>
      <c r="L12" s="1">
        <v>246</v>
      </c>
      <c r="M12" s="1"/>
      <c r="N12" s="27">
        <v>278</v>
      </c>
      <c r="O12" s="27">
        <v>264</v>
      </c>
      <c r="P12" s="27">
        <v>288</v>
      </c>
      <c r="Q12" s="28"/>
    </row>
    <row r="13" spans="1:18">
      <c r="A13" s="1"/>
      <c r="B13" s="1"/>
      <c r="E13" s="1"/>
      <c r="F13" s="1"/>
      <c r="G13" s="1"/>
      <c r="H13" s="1"/>
      <c r="I13" s="1"/>
      <c r="J13" s="1"/>
      <c r="K13" s="1"/>
      <c r="L13" s="1"/>
      <c r="M13" s="1"/>
      <c r="N13" s="4"/>
    </row>
    <row r="14" spans="1:18">
      <c r="A14" s="1"/>
      <c r="B14" s="1"/>
      <c r="E14" s="1"/>
      <c r="F14" s="1"/>
      <c r="G14" s="1"/>
      <c r="H14" s="1"/>
      <c r="I14" s="1"/>
      <c r="J14" s="1"/>
      <c r="K14" s="1"/>
      <c r="L14" s="1"/>
      <c r="M14" s="1"/>
      <c r="N14" s="14"/>
    </row>
    <row r="15" spans="1:18">
      <c r="A15" s="3" t="s">
        <v>25</v>
      </c>
      <c r="B15" s="1"/>
      <c r="E15" s="1"/>
      <c r="F15" s="1"/>
      <c r="G15" s="16"/>
      <c r="H15" s="16"/>
      <c r="I15" s="1"/>
      <c r="J15" s="1"/>
      <c r="K15" s="1"/>
      <c r="L15" s="1"/>
      <c r="M15" s="1"/>
      <c r="N15" s="2"/>
    </row>
    <row r="16" spans="1:18" s="1" customFormat="1">
      <c r="A16" s="1" t="s">
        <v>16</v>
      </c>
      <c r="B16" s="9">
        <v>12235.09</v>
      </c>
      <c r="C16" s="2">
        <v>30998.12</v>
      </c>
      <c r="D16" s="2">
        <v>39661.199999999997</v>
      </c>
      <c r="F16" s="25"/>
      <c r="H16" s="25"/>
      <c r="J16" s="25"/>
      <c r="K16" s="25"/>
      <c r="L16" s="2"/>
      <c r="N16" s="26"/>
      <c r="O16" s="26"/>
      <c r="P16" s="26"/>
    </row>
    <row r="17" spans="1:18" s="1" customFormat="1">
      <c r="A17" s="8" t="s">
        <v>17</v>
      </c>
      <c r="B17" s="9">
        <v>2389.23</v>
      </c>
      <c r="C17" s="9">
        <v>14211.89</v>
      </c>
      <c r="D17" s="15">
        <v>22728.3</v>
      </c>
      <c r="E17" s="4">
        <f>B17+C17+D17</f>
        <v>39329.42</v>
      </c>
      <c r="F17" s="25"/>
      <c r="G17" s="25"/>
      <c r="H17" s="25"/>
      <c r="I17" s="4"/>
      <c r="J17" s="25"/>
      <c r="K17" s="25"/>
      <c r="L17" s="2"/>
      <c r="M17" s="4"/>
      <c r="N17" s="26"/>
      <c r="O17" s="26"/>
      <c r="P17" s="26"/>
      <c r="Q17" s="4"/>
      <c r="R17" s="9"/>
    </row>
    <row r="18" spans="1:18" s="1" customFormat="1">
      <c r="A18" s="10" t="s">
        <v>18</v>
      </c>
      <c r="B18" s="9"/>
      <c r="C18" s="9"/>
      <c r="D18" s="9"/>
      <c r="E18" s="9">
        <v>-105000</v>
      </c>
      <c r="F18" s="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s="1" customFormat="1">
      <c r="A19" s="5" t="s">
        <v>19</v>
      </c>
      <c r="B19" s="4"/>
      <c r="C19" s="4"/>
      <c r="D19" s="4"/>
      <c r="E19" s="4">
        <f>E17+E18</f>
        <v>-65670.58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s="1" customFormat="1">
      <c r="A20" s="1" t="s">
        <v>20</v>
      </c>
      <c r="B20" s="2"/>
      <c r="C20" s="2"/>
      <c r="D20" s="2"/>
      <c r="E20" s="14">
        <f>E19*0.25</f>
        <v>-16417.645</v>
      </c>
      <c r="F20" s="15"/>
      <c r="G20" s="15"/>
      <c r="H20" s="15"/>
      <c r="I20" s="14"/>
      <c r="J20" s="15"/>
      <c r="K20" s="15"/>
      <c r="L20" s="15"/>
      <c r="M20" s="14"/>
      <c r="N20" s="15"/>
      <c r="O20" s="15"/>
      <c r="P20" s="15"/>
      <c r="Q20" s="14"/>
      <c r="R20" s="2"/>
    </row>
    <row r="21" spans="1:18" s="1" customFormat="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s="1" customFormat="1">
      <c r="A22" s="3" t="s">
        <v>21</v>
      </c>
      <c r="B22" s="4"/>
      <c r="C22" s="4"/>
      <c r="D22" s="4"/>
      <c r="E22" s="13">
        <f>E20</f>
        <v>-16417.645</v>
      </c>
      <c r="F22" s="4"/>
      <c r="G22" s="4"/>
      <c r="H22" s="4"/>
      <c r="I22" s="13"/>
      <c r="J22" s="13"/>
      <c r="K22" s="13"/>
      <c r="L22" s="13"/>
      <c r="M22" s="13"/>
      <c r="N22" s="13"/>
      <c r="O22" s="13"/>
      <c r="P22" s="13"/>
      <c r="Q22" s="13"/>
      <c r="R22" s="4"/>
    </row>
    <row r="23" spans="1:18" s="1" customFormat="1">
      <c r="A23" s="6"/>
      <c r="C23" s="2"/>
      <c r="D23" s="2"/>
      <c r="E23" s="17"/>
      <c r="F23" s="16"/>
      <c r="G23" s="16"/>
      <c r="H23" s="16"/>
      <c r="I23" s="17"/>
      <c r="J23" s="17"/>
      <c r="K23" s="17"/>
      <c r="L23" s="17"/>
      <c r="M23" s="17"/>
      <c r="N23" s="16"/>
      <c r="O23" s="16"/>
      <c r="P23" s="16"/>
      <c r="Q23" s="17"/>
    </row>
    <row r="24" spans="1:18" s="1" customFormat="1">
      <c r="A24" s="1" t="s">
        <v>22</v>
      </c>
      <c r="B24" s="28">
        <v>43</v>
      </c>
      <c r="C24" s="28">
        <v>137</v>
      </c>
      <c r="D24" s="28">
        <v>197</v>
      </c>
      <c r="N24" s="27"/>
      <c r="O24" s="27"/>
      <c r="P24" s="27"/>
      <c r="Q24" s="28"/>
    </row>
    <row r="25" spans="1:18" s="1" customFormat="1">
      <c r="C25" s="2"/>
      <c r="D25" s="2"/>
      <c r="N25" s="4"/>
    </row>
    <row r="27" spans="1:18">
      <c r="B27" s="1"/>
    </row>
    <row r="30" spans="1:18">
      <c r="J30" s="1"/>
      <c r="K30" s="1"/>
      <c r="L30" s="1"/>
    </row>
    <row r="32" spans="1:18">
      <c r="N32" s="26"/>
      <c r="O32" s="26"/>
      <c r="P32" s="26"/>
    </row>
    <row r="33" spans="14:16">
      <c r="N33" s="26"/>
      <c r="O33" s="26"/>
      <c r="P33" s="26"/>
    </row>
    <row r="34" spans="14:16">
      <c r="N34" s="9"/>
      <c r="O34" s="9"/>
      <c r="P34" s="9"/>
    </row>
    <row r="35" spans="14:16">
      <c r="N35" s="4"/>
      <c r="O35" s="4"/>
      <c r="P35" s="4"/>
    </row>
    <row r="36" spans="14:16">
      <c r="N36" s="15"/>
      <c r="O36" s="15"/>
      <c r="P36" s="15"/>
    </row>
    <row r="37" spans="14:16">
      <c r="N37" s="2"/>
      <c r="O37" s="2"/>
      <c r="P37" s="2"/>
    </row>
    <row r="38" spans="14:16">
      <c r="N38" s="13"/>
      <c r="O38" s="13"/>
      <c r="P38" s="13"/>
    </row>
    <row r="39" spans="14:16">
      <c r="N39" s="16"/>
      <c r="O39" s="16"/>
      <c r="P39" s="16"/>
    </row>
    <row r="40" spans="14:16">
      <c r="N40" s="27"/>
      <c r="O40" s="27"/>
      <c r="P40" s="27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P. Starling</dc:creator>
  <cp:lastModifiedBy>Sandy P. Starling</cp:lastModifiedBy>
  <dcterms:created xsi:type="dcterms:W3CDTF">2025-06-03T05:03:47Z</dcterms:created>
  <dcterms:modified xsi:type="dcterms:W3CDTF">2025-11-11T18:18:33Z</dcterms:modified>
</cp:coreProperties>
</file>